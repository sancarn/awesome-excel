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ustomer &amp; Equipment Roster" sheetId="2" state="visible" r:id="rId2"/>
    <sheet xmlns:r="http://schemas.openxmlformats.org/officeDocument/2006/relationships" name="Maintenance Agreements" sheetId="3" state="visible" r:id="rId3"/>
    <sheet xmlns:r="http://schemas.openxmlformats.org/officeDocument/2006/relationships" name="Service History Log" sheetId="4" state="visible" r:id="rId4"/>
    <sheet xmlns:r="http://schemas.openxmlformats.org/officeDocument/2006/relationships" name="Dashboard" sheetId="5" state="visible" r:id="rId5"/>
  </sheets>
  <definedNames/>
  <calcPr calcId="124519" fullCalcOnLoad="1"/>
</workbook>
</file>

<file path=xl/styles.xml><?xml version="1.0" encoding="utf-8"?>
<styleSheet xmlns="http://schemas.openxmlformats.org/spreadsheetml/2006/main">
  <numFmts count="2">
    <numFmt numFmtId="164" formatCode="yyyy-mm-dd"/>
    <numFmt numFmtId="165" formatCode="&quot;$&quot;#,##0.00"/>
  </numFmts>
  <fonts count="8">
    <font>
      <name val="Calibri"/>
      <family val="2"/>
      <color theme="1"/>
      <sz val="11"/>
      <scheme val="minor"/>
    </font>
    <font>
      <b val="1"/>
      <color rgb="00B45309"/>
      <sz val="18"/>
    </font>
    <font>
      <i val="1"/>
      <color rgb="005B6573"/>
      <sz val="10"/>
    </font>
    <font>
      <b val="1"/>
      <color rgb="00FFFFFF"/>
    </font>
    <font>
      <color rgb="001E293B"/>
      <sz val="11"/>
    </font>
    <font>
      <b val="1"/>
    </font>
    <font>
      <b val="1"/>
      <color rgb="00B45309"/>
      <sz val="13"/>
    </font>
    <font>
      <b val="1"/>
      <color rgb="00C00000"/>
      <sz val="11"/>
    </font>
  </fonts>
  <fills count="5">
    <fill>
      <patternFill/>
    </fill>
    <fill>
      <patternFill patternType="gray125"/>
    </fill>
    <fill>
      <patternFill patternType="solid">
        <fgColor rgb="00B45309"/>
      </patternFill>
    </fill>
    <fill>
      <patternFill patternType="solid">
        <fgColor rgb="00EEF1F5"/>
      </patternFill>
    </fill>
    <fill>
      <patternFill patternType="solid">
        <fgColor rgb="00FFF7D6"/>
      </patternFill>
    </fill>
  </fills>
  <borders count="2">
    <border>
      <left/>
      <right/>
      <top/>
      <bottom/>
      <diagonal/>
    </border>
    <border>
      <left style="thin">
        <color rgb="00D5DAE1"/>
      </left>
      <right style="thin">
        <color rgb="00D5DAE1"/>
      </right>
      <top style="thin">
        <color rgb="00D5DAE1"/>
      </top>
      <bottom style="thin">
        <color rgb="00D5DAE1"/>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5" fillId="0" borderId="0" pivotButton="0" quotePrefix="0" xfId="0"/>
    <xf numFmtId="0" fontId="0" fillId="4" borderId="0" pivotButton="0" quotePrefix="0" xfId="0"/>
    <xf numFmtId="0" fontId="0" fillId="3" borderId="0" pivotButton="0" quotePrefix="0" xfId="0"/>
    <xf numFmtId="0" fontId="6" fillId="0" borderId="0" pivotButton="0" quotePrefix="0" xfId="0"/>
    <xf numFmtId="0" fontId="0" fillId="0" borderId="0" applyAlignment="1" pivotButton="0" quotePrefix="0" xfId="0">
      <alignment vertical="top" wrapText="1"/>
    </xf>
    <xf numFmtId="0" fontId="7" fillId="0" borderId="0" applyAlignment="1" pivotButton="0" quotePrefix="0" xfId="0">
      <alignment vertical="top" wrapText="1"/>
    </xf>
    <xf numFmtId="0" fontId="3" fillId="2" borderId="1" applyAlignment="1" pivotButton="0" quotePrefix="0" xfId="0">
      <alignment horizontal="center" vertical="center" wrapText="1"/>
    </xf>
    <xf numFmtId="164" fontId="0" fillId="0" borderId="0" pivotButton="0" quotePrefix="0" xfId="0"/>
    <xf numFmtId="3" fontId="0" fillId="0" borderId="0" pivotButton="0" quotePrefix="0" xfId="0"/>
    <xf numFmtId="165" fontId="0" fillId="0" borderId="0" pivotButton="0" quotePrefix="0" xfId="0"/>
    <xf numFmtId="0" fontId="4" fillId="0" borderId="0" pivotButton="0" quotePrefix="0" xfId="0"/>
    <xf numFmtId="3" fontId="5" fillId="3" borderId="1" pivotButton="0" quotePrefix="0" xfId="0"/>
    <xf numFmtId="165" fontId="5" fillId="3" borderId="1" pivotButton="0" quotePrefix="0" xfId="0"/>
  </cellXfs>
  <cellStyles count="1">
    <cellStyle name="Normal" xfId="0" builtinId="0" hidden="0"/>
  </cellStyles>
  <dxfs count="2">
    <dxf>
      <fill>
        <patternFill patternType="solid">
          <fgColor rgb="00FFCDD2"/>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Agreement Status Breakdown (sample data)</a:t>
            </a:r>
          </a:p>
        </rich>
      </tx>
    </title>
    <plotArea>
      <pieChart>
        <varyColors val="1"/>
        <ser>
          <idx val="0"/>
          <order val="0"/>
          <tx>
            <strRef>
              <f>'Dashboard'!B15</f>
            </strRef>
          </tx>
          <spPr>
            <a:ln xmlns:a="http://schemas.openxmlformats.org/drawingml/2006/main">
              <a:prstDash val="solid"/>
            </a:ln>
          </spPr>
          <cat>
            <numRef>
              <f>'Dashboard'!$A$16:$A$18</f>
            </numRef>
          </cat>
          <val>
            <numRef>
              <f>'Dashboard'!$B$16:$B$18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3</row>
      <rowOff>0</rowOff>
    </from>
    <ext cx="50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B45309"/>
    <outlinePr summaryBelow="1" summaryRight="1"/>
    <pageSetUpPr/>
  </sheetPr>
  <dimension ref="A1:B35"/>
  <sheetViews>
    <sheetView showGridLines="0" workbookViewId="0">
      <selection activeCell="A1" sqref="A1"/>
    </sheetView>
  </sheetViews>
  <sheetFormatPr baseColWidth="8" defaultRowHeight="15"/>
  <cols>
    <col width="4" customWidth="1" min="1" max="1"/>
    <col width="110" customWidth="1" min="2" max="2"/>
  </cols>
  <sheetData>
    <row r="1">
      <c r="A1" s="1" t="inlineStr">
        <is>
          <t>Field-Service Maintenance Agreement &amp; Equipment History Tracker</t>
        </is>
      </c>
    </row>
    <row r="2">
      <c r="A2" s="2" t="inlineStr">
        <is>
          <t>FREE SAMPLE - trimmed to 5 agreements and 12 service visits so you can see the formulas, flags and dashboard work. The full template adds 13 agreements / 76 visits of sample data and more room: https://busybusiness.gumroad.com/l/fmqrrd</t>
        </is>
      </c>
    </row>
    <row r="4">
      <c r="B4" s="3" t="inlineStr">
        <is>
          <t>Colour key:</t>
        </is>
      </c>
    </row>
    <row r="5">
      <c r="B5" s="4" t="inlineStr">
        <is>
          <t>Pale yellow cells = type your own information here.</t>
        </is>
      </c>
    </row>
    <row r="6">
      <c r="B6" s="5" t="inlineStr">
        <is>
          <t>Pale gray cells = formulas that calculate automatically. Please don't type over them.</t>
        </is>
      </c>
    </row>
    <row r="8">
      <c r="B8" s="6" t="inlineStr">
        <is>
          <t>What this does</t>
        </is>
      </c>
    </row>
    <row r="9" ht="80" customHeight="1">
      <c r="B9" s="7" t="inlineStr">
        <is>
          <t>Tracks recurring maintenance agreements (HVAC, pest control, appliance repair, or any field-service business) with automatic renewal-date flagging, plus a full per-unit equipment service history -- so you always know what's overdue, what's coming up, and what work has been done on every piece of equipment you service. Built with a free-text Non-Standard Terms field because real agreements don't all fit one template -- split billing, custom frequencies, and negotiated extras all have a place.</t>
        </is>
      </c>
    </row>
    <row r="11">
      <c r="B11" s="6" t="inlineStr">
        <is>
          <t>How to use it (about 15-20 minutes to set up)</t>
        </is>
      </c>
    </row>
    <row r="12" ht="32" customHeight="1">
      <c r="B12" s="7" t="inlineStr">
        <is>
          <t>1. Customer &amp; Equipment Roster: list every customer and every piece of equipment you service for them -- one row per unit, with an Equipment ID you'll reuse on the other two tabs.</t>
        </is>
      </c>
    </row>
    <row r="13" ht="80" customHeight="1">
      <c r="B13" s="7" t="inlineStr">
        <is>
          <t>2. Maintenance Agreements: one row per signed agreement. Pick the Agreement Type, set the Renewal Frequency (in months), and enter the Last Renewal Date. Next Renewal Date, Days Until Renewal, and Status (OVERDUE / DUE SOON / ACTIVE) all calculate automatically and highlight in red/yellow. For agreements that don't fit a standard annual/semi-annual pattern, pick 'Non-Standard / Custom' and use the Notes column for split billing, reduced scope, bundled extras, or any other negotiated terms.</t>
        </is>
      </c>
    </row>
    <row r="14" ht="32" customHeight="1">
      <c r="B14" s="7" t="inlineStr">
        <is>
          <t>3. Service History Log: one row per visit. Link it to an Equipment ID, log parts and labor cost, and the Total Cost calculates automatically. This builds a full service history per unit over time.</t>
        </is>
      </c>
    </row>
    <row r="15" ht="32" customHeight="1">
      <c r="B15" s="7" t="inlineStr">
        <is>
          <t>4. Dashboard: totals, overdue/due-soon counts, non-standard agreement count, revenue, and a status breakdown chart -- all pulled live from the other two tabs, no manual updating.</t>
        </is>
      </c>
    </row>
    <row r="16" ht="32" customHeight="1">
      <c r="B16" s="7" t="inlineStr">
        <is>
          <t>5. Need more rows anywhere? Select the last filled row, copy it, and paste it into the rows below -- the formulas (and dropdowns) come with it.</t>
        </is>
      </c>
    </row>
    <row r="18">
      <c r="B18" s="6" t="inlineStr">
        <is>
          <t>Colour key (also see the legend above)</t>
        </is>
      </c>
    </row>
    <row r="19" ht="48" customHeight="1">
      <c r="B19" s="7" t="inlineStr">
        <is>
          <t>Pale yellow = type your own information here. Pale gray = formulas that calculate automatically -- please don't type over them. On the Maintenance Agreements tab, rows highlighted red are OVERDUE and rows highlighted yellow are DUE SOON (renewal within 30 days).</t>
        </is>
      </c>
    </row>
    <row r="21">
      <c r="B21" s="6" t="inlineStr">
        <is>
          <t>Clearing the sample data</t>
        </is>
      </c>
    </row>
    <row r="22" ht="64" customHeight="1">
      <c r="B22" s="7" t="inlineStr">
        <is>
          <t>The file ships with sample data for a fictional 10-customer, ~20-unit field-service business so you can see the formulas work. To start fresh: on each tab, select the first sample data row down to the last filled row and press Delete, then re-enter your own customers, equipment, agreements, and service visits. The Dashboard needs no clearing -- it recalculates from whatever is in the other tabs.</t>
        </is>
      </c>
    </row>
    <row r="24">
      <c r="B24" s="6" t="inlineStr">
        <is>
          <t>Opening in Excel or Google Sheets</t>
        </is>
      </c>
    </row>
    <row r="25" ht="16" customHeight="1">
      <c r="B25" s="7" t="inlineStr">
        <is>
          <t>Excel (desktop or web): just open the .xlsx file. If Excel shows 'Protected View', click Enable Editing.</t>
        </is>
      </c>
    </row>
    <row r="26" ht="32" customHeight="1">
      <c r="B26" s="7" t="inlineStr">
        <is>
          <t>Google Sheets: upload the file to Google Drive, right-click it &gt; Open with &gt; Google Sheets, then File &gt; Save as Google Sheets. Or in a blank sheet use File &gt; Import &gt; Upload &gt; Replace spreadsheet.</t>
        </is>
      </c>
    </row>
    <row r="27" ht="16" customHeight="1">
      <c r="B27" s="7" t="inlineStr">
        <is>
          <t>Everything uses plain formulas. There are no macros or scripts, so nothing needs to be enabled or authorised.</t>
        </is>
      </c>
    </row>
    <row r="28" ht="16" customHeight="1">
      <c r="B28" s="7" t="inlineStr">
        <is>
          <t>Need more rows? Select the last filled row, copy it, and paste it into the rows below. The formulas come with it.</t>
        </is>
      </c>
    </row>
    <row r="30">
      <c r="B30" s="6" t="inlineStr">
        <is>
          <t>DISCLAIMER -- read before relying on this for real customer billing or scheduling</t>
        </is>
      </c>
    </row>
    <row r="31" ht="48" customHeight="1">
      <c r="B31" s="8" t="inlineStr">
        <is>
          <t>This workbook is a planning and record-keeping tool using sample data, NOT legal, accounting, or warranty advice. Verify every renewal date, price, and contract term against your own signed agreements before relying on this for real customer billing or scheduling.</t>
        </is>
      </c>
    </row>
    <row r="33">
      <c r="B33" s="6" t="inlineStr">
        <is>
          <t>About this template</t>
        </is>
      </c>
    </row>
    <row r="34" ht="32" customHeight="1">
      <c r="B34" s="7" t="inlineStr">
        <is>
          <t>How this was made: SleepyPlanners designed this template with AI assistance. Every formula was then checked by recalculating the workbook and comparing the totals to a separate calculation of the same sample data.</t>
        </is>
      </c>
    </row>
    <row r="35" ht="16" customHeight="1">
      <c r="B35" s="7" t="inlineStr">
        <is>
          <t>Made by SleepyPlanners. For your own business use. Please don't resell or share the file.</t>
        </is>
      </c>
    </row>
  </sheetData>
  <pageMargins left="0.75" right="0.75" top="1" bottom="1" header="0.5" footer="0.5"/>
</worksheet>
</file>

<file path=xl/worksheets/sheet2.xml><?xml version="1.0" encoding="utf-8"?>
<worksheet xmlns="http://schemas.openxmlformats.org/spreadsheetml/2006/main">
  <sheetPr>
    <tabColor rgb="00B45309"/>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2" customWidth="1" min="1" max="1"/>
    <col width="28" customWidth="1" min="2" max="2"/>
    <col width="26" customWidth="1" min="3" max="3"/>
    <col width="12" customWidth="1" min="4" max="4"/>
    <col width="16" customWidth="1" min="5" max="5"/>
    <col width="14" customWidth="1" min="6" max="6"/>
    <col width="10" customWidth="1" min="7" max="7"/>
  </cols>
  <sheetData>
    <row r="1">
      <c r="A1" s="1" t="inlineStr">
        <is>
          <t>Customer &amp; Equipment Roster</t>
        </is>
      </c>
    </row>
    <row r="2">
      <c r="A2" s="2" t="inlineStr">
        <is>
          <t>Yellow = type your own info, gray = automatic.</t>
        </is>
      </c>
    </row>
    <row r="4" ht="32" customHeight="1">
      <c r="A4" s="9" t="inlineStr">
        <is>
          <t>Customer ID</t>
        </is>
      </c>
      <c r="B4" s="9" t="inlineStr">
        <is>
          <t>Customer Name</t>
        </is>
      </c>
      <c r="C4" s="9" t="inlineStr">
        <is>
          <t>Location / Address</t>
        </is>
      </c>
      <c r="D4" s="9" t="inlineStr">
        <is>
          <t>Equipment ID</t>
        </is>
      </c>
      <c r="E4" s="9" t="inlineStr">
        <is>
          <t>Equipment Type</t>
        </is>
      </c>
      <c r="F4" s="9" t="inlineStr">
        <is>
          <t>Install Date</t>
        </is>
      </c>
      <c r="G4" s="9" t="inlineStr">
        <is>
          <t>Active?</t>
        </is>
      </c>
    </row>
    <row r="5" ht="20" customHeight="1">
      <c r="A5" t="inlineStr">
        <is>
          <t>CUST-100</t>
        </is>
      </c>
      <c r="B5" t="inlineStr">
        <is>
          <t>Riverside Medical Plaza</t>
        </is>
      </c>
      <c r="C5" t="inlineStr">
        <is>
          <t>120 Riverside Dr</t>
        </is>
      </c>
      <c r="D5" t="inlineStr">
        <is>
          <t>EQ-301</t>
        </is>
      </c>
      <c r="E5" t="inlineStr">
        <is>
          <t>Central AC</t>
        </is>
      </c>
      <c r="F5" s="10" t="n">
        <v>44642</v>
      </c>
      <c r="G5" t="inlineStr">
        <is>
          <t>Yes</t>
        </is>
      </c>
    </row>
    <row r="6" ht="20" customHeight="1">
      <c r="A6" t="inlineStr">
        <is>
          <t>CUST-100</t>
        </is>
      </c>
      <c r="B6" t="inlineStr">
        <is>
          <t>Riverside Medical Plaza</t>
        </is>
      </c>
      <c r="C6" t="inlineStr">
        <is>
          <t>120 Riverside Dr</t>
        </is>
      </c>
      <c r="D6" t="inlineStr">
        <is>
          <t>EQ-302</t>
        </is>
      </c>
      <c r="E6" t="inlineStr">
        <is>
          <t>Rooftop Unit</t>
        </is>
      </c>
      <c r="F6" s="10" t="n">
        <v>45194</v>
      </c>
      <c r="G6" t="inlineStr">
        <is>
          <t>Yes</t>
        </is>
      </c>
    </row>
    <row r="7" ht="20" customHeight="1">
      <c r="A7" t="inlineStr">
        <is>
          <t>CUST-101</t>
        </is>
      </c>
      <c r="B7" t="inlineStr">
        <is>
          <t>Greenfield Apartments LLC</t>
        </is>
      </c>
      <c r="C7" t="inlineStr">
        <is>
          <t>45 Greenfield Ave Bldg C</t>
        </is>
      </c>
      <c r="D7" t="inlineStr">
        <is>
          <t>EQ-303</t>
        </is>
      </c>
      <c r="E7" t="inlineStr">
        <is>
          <t>Heat Pump</t>
        </is>
      </c>
      <c r="F7" s="10" t="n">
        <v>45001</v>
      </c>
      <c r="G7" t="inlineStr">
        <is>
          <t>Yes</t>
        </is>
      </c>
    </row>
    <row r="8" ht="20" customHeight="1">
      <c r="A8" t="inlineStr">
        <is>
          <t>CUST-101</t>
        </is>
      </c>
      <c r="B8" t="inlineStr">
        <is>
          <t>Greenfield Apartments LLC</t>
        </is>
      </c>
      <c r="C8" t="inlineStr">
        <is>
          <t>45 Greenfield Ave Bldg C</t>
        </is>
      </c>
      <c r="D8" t="inlineStr">
        <is>
          <t>EQ-304</t>
        </is>
      </c>
      <c r="E8" t="inlineStr">
        <is>
          <t>Rooftop Unit</t>
        </is>
      </c>
      <c r="F8" s="10" t="n">
        <v>44823</v>
      </c>
      <c r="G8" t="inlineStr">
        <is>
          <t>Yes</t>
        </is>
      </c>
    </row>
    <row r="9" ht="20" customHeight="1">
      <c r="A9" t="inlineStr">
        <is>
          <t>CUST-101</t>
        </is>
      </c>
      <c r="B9" t="inlineStr">
        <is>
          <t>Greenfield Apartments LLC</t>
        </is>
      </c>
      <c r="C9" t="inlineStr">
        <is>
          <t>45 Greenfield Ave Bldg C</t>
        </is>
      </c>
      <c r="D9" t="inlineStr">
        <is>
          <t>EQ-305</t>
        </is>
      </c>
      <c r="E9" t="inlineStr">
        <is>
          <t>Water Heater</t>
        </is>
      </c>
      <c r="F9" s="10" t="n">
        <v>43899</v>
      </c>
      <c r="G9" t="inlineStr">
        <is>
          <t>Yes</t>
        </is>
      </c>
    </row>
    <row r="10" ht="20" customHeight="1">
      <c r="A10" t="inlineStr">
        <is>
          <t>CUST-102</t>
        </is>
      </c>
      <c r="B10" t="inlineStr">
        <is>
          <t>Oakmont HOA</t>
        </is>
      </c>
      <c r="C10" t="inlineStr">
        <is>
          <t>8 Oakmont Ct</t>
        </is>
      </c>
      <c r="D10" t="inlineStr">
        <is>
          <t>EQ-306</t>
        </is>
      </c>
      <c r="E10" t="inlineStr">
        <is>
          <t>Rooftop Unit</t>
        </is>
      </c>
      <c r="F10" s="10" t="n">
        <v>44193</v>
      </c>
      <c r="G10" t="inlineStr">
        <is>
          <t>No</t>
        </is>
      </c>
    </row>
    <row r="11" ht="20" customHeight="1">
      <c r="A11" t="inlineStr">
        <is>
          <t>CUST-102</t>
        </is>
      </c>
      <c r="B11" t="inlineStr">
        <is>
          <t>Oakmont HOA</t>
        </is>
      </c>
      <c r="C11" t="inlineStr">
        <is>
          <t>8 Oakmont Ct</t>
        </is>
      </c>
      <c r="D11" t="inlineStr">
        <is>
          <t>EQ-307</t>
        </is>
      </c>
      <c r="E11" t="inlineStr">
        <is>
          <t>Furnace</t>
        </is>
      </c>
      <c r="F11" s="10" t="n">
        <v>45675</v>
      </c>
      <c r="G11" t="inlineStr">
        <is>
          <t>Yes</t>
        </is>
      </c>
    </row>
    <row r="12" ht="20" customHeight="1">
      <c r="A12" t="inlineStr">
        <is>
          <t>CUST-103</t>
        </is>
      </c>
      <c r="B12" t="inlineStr">
        <is>
          <t>Chen Family Residence</t>
        </is>
      </c>
      <c r="C12" t="inlineStr">
        <is>
          <t>212 Chen Ln</t>
        </is>
      </c>
      <c r="D12" t="inlineStr">
        <is>
          <t>EQ-308</t>
        </is>
      </c>
      <c r="E12" t="inlineStr">
        <is>
          <t>Heat Pump</t>
        </is>
      </c>
      <c r="F12" s="10" t="n">
        <v>44815</v>
      </c>
      <c r="G12" t="inlineStr">
        <is>
          <t>Yes</t>
        </is>
      </c>
    </row>
    <row r="13" ht="20" customHeight="1">
      <c r="A13" t="inlineStr">
        <is>
          <t>CUST-103</t>
        </is>
      </c>
      <c r="B13" t="inlineStr">
        <is>
          <t>Chen Family Residence</t>
        </is>
      </c>
      <c r="C13" t="inlineStr">
        <is>
          <t>212 Chen Ln</t>
        </is>
      </c>
      <c r="D13" t="inlineStr">
        <is>
          <t>EQ-309</t>
        </is>
      </c>
      <c r="E13" t="inlineStr">
        <is>
          <t>Mini-Split</t>
        </is>
      </c>
      <c r="F13" s="10" t="n">
        <v>45724</v>
      </c>
      <c r="G13" t="inlineStr">
        <is>
          <t>Yes</t>
        </is>
      </c>
    </row>
    <row r="14" ht="20" customHeight="1">
      <c r="A14" t="inlineStr">
        <is>
          <t>CUST-104</t>
        </is>
      </c>
      <c r="B14" t="inlineStr">
        <is>
          <t>Summit Office Park</t>
        </is>
      </c>
      <c r="C14" t="inlineStr">
        <is>
          <t>900 Summit Pkwy Ste 4</t>
        </is>
      </c>
      <c r="D14" t="inlineStr">
        <is>
          <t>EQ-310</t>
        </is>
      </c>
      <c r="E14" t="inlineStr">
        <is>
          <t>Mini-Split</t>
        </is>
      </c>
      <c r="F14" s="10" t="n">
        <v>45822</v>
      </c>
      <c r="G14" t="inlineStr">
        <is>
          <t>Yes</t>
        </is>
      </c>
    </row>
    <row r="15" ht="20" customHeight="1">
      <c r="A15" t="inlineStr">
        <is>
          <t>CUST-104</t>
        </is>
      </c>
      <c r="B15" t="inlineStr">
        <is>
          <t>Summit Office Park</t>
        </is>
      </c>
      <c r="C15" t="inlineStr">
        <is>
          <t>900 Summit Pkwy Ste 4</t>
        </is>
      </c>
      <c r="D15" t="inlineStr">
        <is>
          <t>EQ-311</t>
        </is>
      </c>
      <c r="E15" t="inlineStr">
        <is>
          <t>Central AC</t>
        </is>
      </c>
      <c r="F15" s="10" t="n">
        <v>44110</v>
      </c>
      <c r="G15" t="inlineStr">
        <is>
          <t>Yes</t>
        </is>
      </c>
    </row>
    <row r="16" ht="20" customHeight="1">
      <c r="A16" t="inlineStr">
        <is>
          <t>CUST-105</t>
        </is>
      </c>
      <c r="B16" t="inlineStr">
        <is>
          <t>Patel Family Residence</t>
        </is>
      </c>
      <c r="C16" t="inlineStr">
        <is>
          <t>77 Patel Way</t>
        </is>
      </c>
      <c r="D16" t="inlineStr">
        <is>
          <t>EQ-312</t>
        </is>
      </c>
      <c r="E16" t="inlineStr">
        <is>
          <t>Heat Pump</t>
        </is>
      </c>
      <c r="F16" s="10" t="n">
        <v>44744</v>
      </c>
      <c r="G16" t="inlineStr">
        <is>
          <t>Yes</t>
        </is>
      </c>
    </row>
    <row r="17" ht="20" customHeight="1">
      <c r="A17" t="inlineStr">
        <is>
          <t>CUST-105</t>
        </is>
      </c>
      <c r="B17" t="inlineStr">
        <is>
          <t>Patel Family Residence</t>
        </is>
      </c>
      <c r="C17" t="inlineStr">
        <is>
          <t>77 Patel Way</t>
        </is>
      </c>
      <c r="D17" t="inlineStr">
        <is>
          <t>EQ-313</t>
        </is>
      </c>
      <c r="E17" t="inlineStr">
        <is>
          <t>Heat Pump</t>
        </is>
      </c>
      <c r="F17" s="10" t="n">
        <v>44265</v>
      </c>
      <c r="G17" t="inlineStr">
        <is>
          <t>Yes</t>
        </is>
      </c>
    </row>
    <row r="18" ht="20" customHeight="1">
      <c r="A18" t="inlineStr">
        <is>
          <t>CUST-105</t>
        </is>
      </c>
      <c r="B18" t="inlineStr">
        <is>
          <t>Patel Family Residence</t>
        </is>
      </c>
      <c r="C18" t="inlineStr">
        <is>
          <t>77 Patel Way</t>
        </is>
      </c>
      <c r="D18" t="inlineStr">
        <is>
          <t>EQ-314</t>
        </is>
      </c>
      <c r="E18" t="inlineStr">
        <is>
          <t>Mini-Split</t>
        </is>
      </c>
      <c r="F18" s="10" t="n">
        <v>45976</v>
      </c>
      <c r="G18" t="inlineStr">
        <is>
          <t>Yes</t>
        </is>
      </c>
    </row>
    <row r="19" ht="20" customHeight="1">
      <c r="A19" t="inlineStr">
        <is>
          <t>CUST-106</t>
        </is>
      </c>
      <c r="B19" t="inlineStr">
        <is>
          <t>Lakeside Diner</t>
        </is>
      </c>
      <c r="C19" t="inlineStr">
        <is>
          <t>15 Lakeside Rd</t>
        </is>
      </c>
      <c r="D19" t="inlineStr">
        <is>
          <t>EQ-315</t>
        </is>
      </c>
      <c r="E19" t="inlineStr">
        <is>
          <t>Mini-Split</t>
        </is>
      </c>
      <c r="F19" s="10" t="n">
        <v>43601</v>
      </c>
      <c r="G19" t="inlineStr">
        <is>
          <t>Yes</t>
        </is>
      </c>
    </row>
    <row r="20" ht="20" customHeight="1">
      <c r="A20" t="inlineStr">
        <is>
          <t>CUST-106</t>
        </is>
      </c>
      <c r="B20" t="inlineStr">
        <is>
          <t>Lakeside Diner</t>
        </is>
      </c>
      <c r="C20" t="inlineStr">
        <is>
          <t>15 Lakeside Rd</t>
        </is>
      </c>
      <c r="D20" t="inlineStr">
        <is>
          <t>EQ-316</t>
        </is>
      </c>
      <c r="E20" t="inlineStr">
        <is>
          <t>Heat Pump</t>
        </is>
      </c>
      <c r="F20" s="10" t="n">
        <v>43886</v>
      </c>
      <c r="G20" t="inlineStr">
        <is>
          <t>Yes</t>
        </is>
      </c>
    </row>
    <row r="21" ht="20" customHeight="1">
      <c r="A21" t="inlineStr">
        <is>
          <t>CUST-106</t>
        </is>
      </c>
      <c r="B21" t="inlineStr">
        <is>
          <t>Lakeside Diner</t>
        </is>
      </c>
      <c r="C21" t="inlineStr">
        <is>
          <t>15 Lakeside Rd</t>
        </is>
      </c>
      <c r="D21" t="inlineStr">
        <is>
          <t>EQ-317</t>
        </is>
      </c>
      <c r="E21" t="inlineStr">
        <is>
          <t>Furnace</t>
        </is>
      </c>
      <c r="F21" s="10" t="n">
        <v>44248</v>
      </c>
      <c r="G21" t="inlineStr">
        <is>
          <t>Yes</t>
        </is>
      </c>
    </row>
    <row r="22" ht="20" customHeight="1">
      <c r="A22" t="inlineStr">
        <is>
          <t>CUST-107</t>
        </is>
      </c>
      <c r="B22" t="inlineStr">
        <is>
          <t>Harbor View Condos</t>
        </is>
      </c>
      <c r="C22" t="inlineStr">
        <is>
          <t>300 Harbor View Blvd</t>
        </is>
      </c>
      <c r="D22" t="inlineStr">
        <is>
          <t>EQ-318</t>
        </is>
      </c>
      <c r="E22" t="inlineStr">
        <is>
          <t>Central AC</t>
        </is>
      </c>
      <c r="F22" s="10" t="n">
        <v>44120</v>
      </c>
      <c r="G22" t="inlineStr">
        <is>
          <t>Yes</t>
        </is>
      </c>
    </row>
    <row r="23" ht="20" customHeight="1">
      <c r="A23" t="inlineStr">
        <is>
          <t>CUST-108</t>
        </is>
      </c>
      <c r="B23" t="inlineStr">
        <is>
          <t>Maple Street Elementary</t>
        </is>
      </c>
      <c r="C23" t="inlineStr">
        <is>
          <t>50 Maple St</t>
        </is>
      </c>
      <c r="D23" t="inlineStr">
        <is>
          <t>EQ-319</t>
        </is>
      </c>
      <c r="E23" t="inlineStr">
        <is>
          <t>Central AC</t>
        </is>
      </c>
      <c r="F23" s="10" t="n">
        <v>44620</v>
      </c>
      <c r="G23" t="inlineStr">
        <is>
          <t>Yes</t>
        </is>
      </c>
    </row>
    <row r="24" ht="20" customHeight="1">
      <c r="A24" t="inlineStr">
        <is>
          <t>CUST-109</t>
        </is>
      </c>
      <c r="B24" t="inlineStr">
        <is>
          <t>Union Square Retail Center</t>
        </is>
      </c>
      <c r="C24" t="inlineStr">
        <is>
          <t>600 Union Square</t>
        </is>
      </c>
      <c r="D24" t="inlineStr">
        <is>
          <t>EQ-320</t>
        </is>
      </c>
      <c r="E24" t="inlineStr">
        <is>
          <t>Furnace</t>
        </is>
      </c>
      <c r="F24" s="10" t="n">
        <v>44908</v>
      </c>
      <c r="G24" t="inlineStr">
        <is>
          <t>Yes</t>
        </is>
      </c>
    </row>
  </sheetData>
  <dataValidations count="2">
    <dataValidation sqref="E5:E24" showDropDown="0" showInputMessage="0" showErrorMessage="1" allowBlank="1" errorTitle="Pick from list" error="Please pick a value from the list (edit the list on the settings tab to add options)." type="list">
      <formula1>"Central AC,Furnace,Heat Pump,Mini-Split,Rooftop Unit,Water Heater"</formula1>
    </dataValidation>
    <dataValidation sqref="G5:G24" showDropDown="0" showInputMessage="0" showErrorMessage="1" allowBlank="1" errorTitle="Pick from list" error="Please pick a value from the list (edit the list on the settings tab to add options)." type="list">
      <formula1>"Yes,No"</formula1>
    </dataValidation>
  </dataValidations>
  <pageMargins left="0.75" right="0.75" top="1" bottom="1" header="0.5" footer="0.5"/>
</worksheet>
</file>

<file path=xl/worksheets/sheet3.xml><?xml version="1.0" encoding="utf-8"?>
<worksheet xmlns="http://schemas.openxmlformats.org/spreadsheetml/2006/main">
  <sheetPr>
    <tabColor rgb="00B45309"/>
    <outlinePr summaryBelow="1" summaryRight="1"/>
    <pageSetUpPr/>
  </sheetPr>
  <dimension ref="A1:L17"/>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26" customWidth="1" min="3" max="3"/>
    <col width="11" customWidth="1" min="4" max="4"/>
    <col width="20" customWidth="1" min="5" max="5"/>
    <col width="16" customWidth="1" min="6" max="6"/>
    <col width="16" customWidth="1" min="7" max="7"/>
    <col width="16" customWidth="1" min="8" max="8"/>
    <col width="14" customWidth="1" min="9" max="9"/>
    <col width="12" customWidth="1" min="10" max="10"/>
    <col width="14" customWidth="1" min="11" max="11"/>
    <col width="40" customWidth="1" min="12" max="12"/>
  </cols>
  <sheetData>
    <row r="1">
      <c r="A1" s="1" t="inlineStr">
        <is>
          <t>Maintenance Agreements</t>
        </is>
      </c>
    </row>
    <row r="2">
      <c r="A2" s="2" t="inlineStr">
        <is>
          <t>Renewal dates and status flag automatically from Last Renewal Date + Frequency.</t>
        </is>
      </c>
    </row>
    <row r="4" ht="36" customHeight="1">
      <c r="A4" s="9" t="inlineStr">
        <is>
          <t>Agreement ID</t>
        </is>
      </c>
      <c r="B4" s="9" t="inlineStr">
        <is>
          <t>Customer ID</t>
        </is>
      </c>
      <c r="C4" s="9" t="inlineStr">
        <is>
          <t>Customer Name</t>
        </is>
      </c>
      <c r="D4" s="9" t="inlineStr">
        <is>
          <t>Equipment ID</t>
        </is>
      </c>
      <c r="E4" s="9" t="inlineStr">
        <is>
          <t>Agreement Type</t>
        </is>
      </c>
      <c r="F4" s="9" t="inlineStr">
        <is>
          <t>Renewal Frequency (months)</t>
        </is>
      </c>
      <c r="G4" s="9" t="inlineStr">
        <is>
          <t>Last Renewal Date</t>
        </is>
      </c>
      <c r="H4" s="9" t="inlineStr">
        <is>
          <t>Next Renewal Date</t>
        </is>
      </c>
      <c r="I4" s="9" t="inlineStr">
        <is>
          <t>Days Until Renewal</t>
        </is>
      </c>
      <c r="J4" s="9" t="inlineStr">
        <is>
          <t>Status</t>
        </is>
      </c>
      <c r="K4" s="9" t="inlineStr">
        <is>
          <t>Price per Term ($)</t>
        </is>
      </c>
      <c r="L4" s="9" t="inlineStr">
        <is>
          <t>Non-Standard Terms / Notes</t>
        </is>
      </c>
    </row>
    <row r="5" ht="20" customHeight="1">
      <c r="A5" t="inlineStr">
        <is>
          <t>AGR-501</t>
        </is>
      </c>
      <c r="B5" t="inlineStr">
        <is>
          <t>CUST-100</t>
        </is>
      </c>
      <c r="C5">
        <f>INDEX('Customer &amp; Equipment Roster'!$B$5:$B$24,MATCH($B5,'Customer &amp; Equipment Roster'!$A$5:$A$24,0))</f>
        <v/>
      </c>
      <c r="D5" t="inlineStr">
        <is>
          <t>EQ-302</t>
        </is>
      </c>
      <c r="E5" t="inlineStr">
        <is>
          <t>Standard Semi-Annual</t>
        </is>
      </c>
      <c r="F5" s="11" t="n">
        <v>6</v>
      </c>
      <c r="G5" s="10" t="n">
        <v>46069</v>
      </c>
      <c r="H5" s="10">
        <f>EDATE($G5,$F5)</f>
        <v/>
      </c>
      <c r="I5" s="11">
        <f>H5-TODAY()</f>
        <v/>
      </c>
      <c r="J5">
        <f>IF(I5&lt;0,"OVERDUE",IF(I5&lt;=30,"DUE SOON","ACTIVE"))</f>
        <v/>
      </c>
      <c r="K5" s="12" t="n">
        <v>591.08</v>
      </c>
      <c r="L5" s="7" t="inlineStr"/>
    </row>
    <row r="6" ht="32" customHeight="1">
      <c r="A6" t="inlineStr">
        <is>
          <t>AGR-502</t>
        </is>
      </c>
      <c r="B6" t="inlineStr">
        <is>
          <t>CUST-102</t>
        </is>
      </c>
      <c r="C6">
        <f>INDEX('Customer &amp; Equipment Roster'!$B$5:$B$24,MATCH($B6,'Customer &amp; Equipment Roster'!$A$5:$A$24,0))</f>
        <v/>
      </c>
      <c r="D6" t="inlineStr">
        <is>
          <t>EQ-307</t>
        </is>
      </c>
      <c r="E6" t="inlineStr">
        <is>
          <t>Non-Standard / Custom</t>
        </is>
      </c>
      <c r="F6" s="11" t="n">
        <v>4</v>
      </c>
      <c r="G6" s="10" t="n">
        <v>46100</v>
      </c>
      <c r="H6" s="10">
        <f>EDATE($G6,$F6)</f>
        <v/>
      </c>
      <c r="I6" s="11">
        <f>H6-TODAY()</f>
        <v/>
      </c>
      <c r="J6">
        <f>IF(I6&lt;0,"OVERDUE",IF(I6&lt;=30,"DUE SOON","ACTIVE"))</f>
        <v/>
      </c>
      <c r="K6" s="12" t="n">
        <v>419.57</v>
      </c>
      <c r="L6" s="7" t="inlineStr">
        <is>
          <t>Includes 1 emergency after-hours visit per term at no extra charge (negotiated 2025).</t>
        </is>
      </c>
    </row>
    <row r="7" ht="20" customHeight="1">
      <c r="A7" t="inlineStr">
        <is>
          <t>AGR-503</t>
        </is>
      </c>
      <c r="B7" t="inlineStr">
        <is>
          <t>CUST-103</t>
        </is>
      </c>
      <c r="C7">
        <f>INDEX('Customer &amp; Equipment Roster'!$B$5:$B$24,MATCH($B7,'Customer &amp; Equipment Roster'!$A$5:$A$24,0))</f>
        <v/>
      </c>
      <c r="D7" t="inlineStr">
        <is>
          <t>EQ-308</t>
        </is>
      </c>
      <c r="E7" t="inlineStr">
        <is>
          <t>Standard Annual</t>
        </is>
      </c>
      <c r="F7" s="11" t="n">
        <v>12</v>
      </c>
      <c r="G7" s="10" t="n">
        <v>46100</v>
      </c>
      <c r="H7" s="10">
        <f>EDATE($G7,$F7)</f>
        <v/>
      </c>
      <c r="I7" s="11">
        <f>H7-TODAY()</f>
        <v/>
      </c>
      <c r="J7">
        <f>IF(I7&lt;0,"OVERDUE",IF(I7&lt;=30,"DUE SOON","ACTIVE"))</f>
        <v/>
      </c>
      <c r="K7" s="12" t="n">
        <v>714.14</v>
      </c>
      <c r="L7" s="7" t="inlineStr"/>
    </row>
    <row r="8" ht="20" customHeight="1">
      <c r="A8" t="inlineStr">
        <is>
          <t>AGR-504</t>
        </is>
      </c>
      <c r="B8" t="inlineStr">
        <is>
          <t>CUST-103</t>
        </is>
      </c>
      <c r="C8">
        <f>INDEX('Customer &amp; Equipment Roster'!$B$5:$B$24,MATCH($B8,'Customer &amp; Equipment Roster'!$A$5:$A$24,0))</f>
        <v/>
      </c>
      <c r="D8" t="inlineStr">
        <is>
          <t>EQ-309</t>
        </is>
      </c>
      <c r="E8" t="inlineStr">
        <is>
          <t>Standard Semi-Annual</t>
        </is>
      </c>
      <c r="F8" s="11" t="n">
        <v>6</v>
      </c>
      <c r="G8" s="10" t="n">
        <v>45978</v>
      </c>
      <c r="H8" s="10">
        <f>EDATE($G8,$F8)</f>
        <v/>
      </c>
      <c r="I8" s="11">
        <f>H8-TODAY()</f>
        <v/>
      </c>
      <c r="J8">
        <f>IF(I8&lt;0,"OVERDUE",IF(I8&lt;=30,"DUE SOON","ACTIVE"))</f>
        <v/>
      </c>
      <c r="K8" s="12" t="n">
        <v>269.94</v>
      </c>
      <c r="L8" s="7" t="inlineStr"/>
    </row>
    <row r="9" ht="20" customHeight="1">
      <c r="A9" t="inlineStr">
        <is>
          <t>AGR-505</t>
        </is>
      </c>
      <c r="B9" t="inlineStr">
        <is>
          <t>CUST-104</t>
        </is>
      </c>
      <c r="C9">
        <f>INDEX('Customer &amp; Equipment Roster'!$B$5:$B$24,MATCH($B9,'Customer &amp; Equipment Roster'!$A$5:$A$24,0))</f>
        <v/>
      </c>
      <c r="D9" t="inlineStr">
        <is>
          <t>EQ-310</t>
        </is>
      </c>
      <c r="E9" t="inlineStr">
        <is>
          <t>Standard Annual</t>
        </is>
      </c>
      <c r="F9" s="11" t="n">
        <v>12</v>
      </c>
      <c r="G9" s="10" t="n">
        <v>46252</v>
      </c>
      <c r="H9" s="10">
        <f>EDATE($G9,$F9)</f>
        <v/>
      </c>
      <c r="I9" s="11">
        <f>H9-TODAY()</f>
        <v/>
      </c>
      <c r="J9">
        <f>IF(I9&lt;0,"OVERDUE",IF(I9&lt;=30,"DUE SOON","ACTIVE"))</f>
        <v/>
      </c>
      <c r="K9" s="12" t="n">
        <v>626.79</v>
      </c>
      <c r="L9" s="7" t="inlineStr"/>
    </row>
    <row r="10" ht="20" customHeight="1">
      <c r="F10" s="11" t="n"/>
      <c r="G10" s="10" t="n"/>
      <c r="H10" s="10" t="n"/>
      <c r="I10" s="11" t="n"/>
      <c r="K10" s="12" t="n"/>
      <c r="L10" s="7" t="n"/>
    </row>
    <row r="11" ht="20" customHeight="1">
      <c r="F11" s="11" t="n"/>
      <c r="G11" s="10" t="n"/>
      <c r="H11" s="10" t="n"/>
      <c r="I11" s="11" t="n"/>
      <c r="K11" s="12" t="n"/>
      <c r="L11" s="7" t="n"/>
    </row>
    <row r="12" ht="20" customHeight="1">
      <c r="F12" s="11" t="n"/>
      <c r="G12" s="10" t="n"/>
      <c r="H12" s="10" t="n"/>
      <c r="I12" s="11" t="n"/>
      <c r="K12" s="12" t="n"/>
      <c r="L12" s="7" t="n"/>
    </row>
    <row r="13" ht="20" customHeight="1">
      <c r="F13" s="11" t="n"/>
      <c r="G13" s="10" t="n"/>
      <c r="H13" s="10" t="n"/>
      <c r="I13" s="11" t="n"/>
      <c r="K13" s="12" t="n"/>
      <c r="L13" s="7" t="n"/>
    </row>
    <row r="14" ht="20" customHeight="1">
      <c r="F14" s="11" t="n"/>
      <c r="G14" s="10" t="n"/>
      <c r="H14" s="10" t="n"/>
      <c r="I14" s="11" t="n"/>
      <c r="K14" s="12" t="n"/>
      <c r="L14" s="7" t="n"/>
    </row>
    <row r="15" ht="20" customHeight="1">
      <c r="F15" s="11" t="n"/>
      <c r="G15" s="10" t="n"/>
      <c r="H15" s="10" t="n"/>
      <c r="I15" s="11" t="n"/>
      <c r="K15" s="12" t="n"/>
      <c r="L15" s="7" t="n"/>
    </row>
    <row r="16" ht="20" customHeight="1">
      <c r="F16" s="11" t="n"/>
      <c r="G16" s="10" t="n"/>
      <c r="H16" s="10" t="n"/>
      <c r="I16" s="11" t="n"/>
      <c r="K16" s="12" t="n"/>
      <c r="L16" s="7" t="n"/>
    </row>
    <row r="17" ht="20" customHeight="1">
      <c r="F17" s="11" t="n"/>
      <c r="G17" s="10" t="n"/>
      <c r="H17" s="10" t="n"/>
      <c r="I17" s="11" t="n"/>
      <c r="K17" s="12" t="n"/>
      <c r="L17" s="7" t="n"/>
    </row>
  </sheetData>
  <conditionalFormatting sqref="A5:L17">
    <cfRule type="expression" priority="1" dxfId="0">
      <formula>$J5="OVERDUE"</formula>
    </cfRule>
    <cfRule type="expression" priority="2" dxfId="1">
      <formula>$J5="DUE SOON"</formula>
    </cfRule>
  </conditionalFormatting>
  <dataValidations count="2">
    <dataValidation sqref="E5:E17" showDropDown="0" showInputMessage="0" showErrorMessage="1" allowBlank="1" errorTitle="Pick from list" error="Please pick a value from the list (edit the list on the settings tab to add options)." type="list">
      <formula1>"Standard Annual,Standard Semi-Annual,Non-Standard / Custom"</formula1>
    </dataValidation>
    <dataValidation sqref="D5:D17" showDropDown="0" showInputMessage="1" showErrorMessage="1" allowBlank="1" errorTitle="Pick from list" error="Please pick a value from the list (edit the list on the settings tab to add options)." prompt="Pick an Equipment ID from the roster tab." type="list">
      <formula1>='Customer &amp; Equipment Roster'!$D$5:$D$24</formula1>
    </dataValidation>
  </dataValidations>
  <pageMargins left="0.75" right="0.75" top="1" bottom="1" header="0.5" footer="0.5"/>
</worksheet>
</file>

<file path=xl/worksheets/sheet4.xml><?xml version="1.0" encoding="utf-8"?>
<worksheet xmlns="http://schemas.openxmlformats.org/spreadsheetml/2006/main">
  <sheetPr>
    <tabColor rgb="00B45309"/>
    <outlinePr summaryBelow="1" summaryRight="1"/>
    <pageSetUpPr/>
  </sheetPr>
  <dimension ref="A1:K80"/>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12" customWidth="1" min="3" max="3"/>
    <col width="26" customWidth="1" min="4" max="4"/>
    <col width="14" customWidth="1" min="5" max="5"/>
    <col width="20" customWidth="1" min="6" max="6"/>
    <col width="34" customWidth="1" min="7" max="7"/>
    <col width="13" customWidth="1" min="8" max="8"/>
    <col width="13" customWidth="1" min="9" max="9"/>
    <col width="13" customWidth="1" min="10" max="10"/>
    <col width="10" customWidth="1" min="11" max="11"/>
  </cols>
  <sheetData>
    <row r="1">
      <c r="A1" s="1" t="inlineStr">
        <is>
          <t>Service History Log</t>
        </is>
      </c>
    </row>
    <row r="2">
      <c r="A2" s="2" t="inlineStr">
        <is>
          <t>Per-visit service records, one row per visit, linked to an Equipment ID.</t>
        </is>
      </c>
    </row>
    <row r="4" ht="32" customHeight="1">
      <c r="A4" s="9" t="inlineStr">
        <is>
          <t>Service ID</t>
        </is>
      </c>
      <c r="B4" s="9" t="inlineStr">
        <is>
          <t>Date</t>
        </is>
      </c>
      <c r="C4" s="9" t="inlineStr">
        <is>
          <t>Equipment ID</t>
        </is>
      </c>
      <c r="D4" s="9" t="inlineStr">
        <is>
          <t>Customer Name</t>
        </is>
      </c>
      <c r="E4" s="9" t="inlineStr">
        <is>
          <t>Technician</t>
        </is>
      </c>
      <c r="F4" s="9" t="inlineStr">
        <is>
          <t>Service Type</t>
        </is>
      </c>
      <c r="G4" s="9" t="inlineStr">
        <is>
          <t>Notes</t>
        </is>
      </c>
      <c r="H4" s="9" t="inlineStr">
        <is>
          <t>Parts Cost ($)</t>
        </is>
      </c>
      <c r="I4" s="9" t="inlineStr">
        <is>
          <t>Labor Cost ($)</t>
        </is>
      </c>
      <c r="J4" s="9" t="inlineStr">
        <is>
          <t>Total Cost ($)</t>
        </is>
      </c>
      <c r="K4" s="9" t="inlineStr">
        <is>
          <t>Billable?</t>
        </is>
      </c>
    </row>
    <row r="5" ht="18" customHeight="1">
      <c r="A5" t="inlineStr">
        <is>
          <t>SVC-1001</t>
        </is>
      </c>
      <c r="B5" s="10" t="n">
        <v>46281</v>
      </c>
      <c r="C5" t="inlineStr">
        <is>
          <t>EQ-301</t>
        </is>
      </c>
      <c r="D5" t="inlineStr">
        <is>
          <t>Riverside Medical Plaza</t>
        </is>
      </c>
      <c r="E5" t="inlineStr">
        <is>
          <t>M. Okafor</t>
        </is>
      </c>
      <c r="F5" t="inlineStr">
        <is>
          <t>Inspection</t>
        </is>
      </c>
      <c r="G5" t="inlineStr">
        <is>
          <t>Annual safety inspection, unit passed.</t>
        </is>
      </c>
      <c r="H5" s="12" t="n">
        <v>14.37</v>
      </c>
      <c r="I5" s="12" t="n">
        <v>155.18</v>
      </c>
      <c r="J5" s="12">
        <f>H5+I5</f>
        <v/>
      </c>
      <c r="K5" t="inlineStr">
        <is>
          <t>Yes</t>
        </is>
      </c>
    </row>
    <row r="6" ht="18" customHeight="1">
      <c r="A6" t="inlineStr">
        <is>
          <t>SVC-1002</t>
        </is>
      </c>
      <c r="B6" s="10" t="n">
        <v>46222</v>
      </c>
      <c r="C6" t="inlineStr">
        <is>
          <t>EQ-301</t>
        </is>
      </c>
      <c r="D6" t="inlineStr">
        <is>
          <t>Riverside Medical Plaza</t>
        </is>
      </c>
      <c r="E6" t="inlineStr">
        <is>
          <t>D. Sullivan</t>
        </is>
      </c>
      <c r="F6" t="inlineStr">
        <is>
          <t>Emergency Call</t>
        </is>
      </c>
      <c r="G6" t="inlineStr">
        <is>
          <t>After-hours no-cool call, diagnosed and repaired same visit.</t>
        </is>
      </c>
      <c r="H6" s="12" t="n">
        <v>81.54000000000001</v>
      </c>
      <c r="I6" s="12" t="n">
        <v>295</v>
      </c>
      <c r="J6" s="12">
        <f>H6+I6</f>
        <v/>
      </c>
      <c r="K6" t="inlineStr">
        <is>
          <t>Yes</t>
        </is>
      </c>
    </row>
    <row r="7" ht="18" customHeight="1">
      <c r="A7" t="inlineStr">
        <is>
          <t>SVC-1003</t>
        </is>
      </c>
      <c r="B7" s="10" t="n">
        <v>46122</v>
      </c>
      <c r="C7" t="inlineStr">
        <is>
          <t>EQ-301</t>
        </is>
      </c>
      <c r="D7" t="inlineStr">
        <is>
          <t>Riverside Medical Plaza</t>
        </is>
      </c>
      <c r="E7" t="inlineStr">
        <is>
          <t>J. Alvarez</t>
        </is>
      </c>
      <c r="F7" t="inlineStr">
        <is>
          <t>Scheduled Maintenance</t>
        </is>
      </c>
      <c r="G7" t="inlineStr">
        <is>
          <t>Routine filter/coil check, no issues found.</t>
        </is>
      </c>
      <c r="H7" s="12" t="n">
        <v>20.54</v>
      </c>
      <c r="I7" s="12" t="n">
        <v>172.11</v>
      </c>
      <c r="J7" s="12">
        <f>H7+I7</f>
        <v/>
      </c>
      <c r="K7" t="inlineStr">
        <is>
          <t>Yes</t>
        </is>
      </c>
    </row>
    <row r="8" ht="18" customHeight="1">
      <c r="A8" t="inlineStr">
        <is>
          <t>SVC-1004</t>
        </is>
      </c>
      <c r="B8" s="10" t="n">
        <v>46243</v>
      </c>
      <c r="C8" t="inlineStr">
        <is>
          <t>EQ-301</t>
        </is>
      </c>
      <c r="D8" t="inlineStr">
        <is>
          <t>Riverside Medical Plaza</t>
        </is>
      </c>
      <c r="E8" t="inlineStr">
        <is>
          <t>D. Sullivan</t>
        </is>
      </c>
      <c r="F8" t="inlineStr">
        <is>
          <t>Scheduled Maintenance</t>
        </is>
      </c>
      <c r="G8" t="inlineStr">
        <is>
          <t>Routine filter/coil check, no issues found.</t>
        </is>
      </c>
      <c r="H8" s="12" t="n">
        <v>39.77</v>
      </c>
      <c r="I8" s="12" t="n">
        <v>199.92</v>
      </c>
      <c r="J8" s="12">
        <f>H8+I8</f>
        <v/>
      </c>
      <c r="K8" t="inlineStr">
        <is>
          <t>Yes</t>
        </is>
      </c>
    </row>
    <row r="9" ht="18" customHeight="1">
      <c r="A9" t="inlineStr">
        <is>
          <t>SVC-1005</t>
        </is>
      </c>
      <c r="B9" s="10" t="n">
        <v>46216</v>
      </c>
      <c r="C9" t="inlineStr">
        <is>
          <t>EQ-301</t>
        </is>
      </c>
      <c r="D9" t="inlineStr">
        <is>
          <t>Riverside Medical Plaza</t>
        </is>
      </c>
      <c r="E9" t="inlineStr">
        <is>
          <t>D. Sullivan</t>
        </is>
      </c>
      <c r="F9" t="inlineStr">
        <is>
          <t>Emergency Call</t>
        </is>
      </c>
      <c r="G9" t="inlineStr">
        <is>
          <t>After-hours no-cool call, diagnosed and repaired same visit.</t>
        </is>
      </c>
      <c r="H9" s="12" t="n">
        <v>59.32</v>
      </c>
      <c r="I9" s="12" t="n">
        <v>295.59</v>
      </c>
      <c r="J9" s="12">
        <f>H9+I9</f>
        <v/>
      </c>
      <c r="K9" t="inlineStr">
        <is>
          <t>Yes</t>
        </is>
      </c>
    </row>
    <row r="10" ht="18" customHeight="1">
      <c r="A10" t="inlineStr">
        <is>
          <t>SVC-1006</t>
        </is>
      </c>
      <c r="B10" s="10" t="n">
        <v>46116</v>
      </c>
      <c r="C10" t="inlineStr">
        <is>
          <t>EQ-301</t>
        </is>
      </c>
      <c r="D10" t="inlineStr">
        <is>
          <t>Riverside Medical Plaza</t>
        </is>
      </c>
      <c r="E10" t="inlineStr">
        <is>
          <t>R. Nguyen</t>
        </is>
      </c>
      <c r="F10" t="inlineStr">
        <is>
          <t>Inspection</t>
        </is>
      </c>
      <c r="G10" t="inlineStr">
        <is>
          <t>Annual safety inspection, unit passed.</t>
        </is>
      </c>
      <c r="H10" s="12" t="n">
        <v>24.05</v>
      </c>
      <c r="I10" s="12" t="n">
        <v>202.59</v>
      </c>
      <c r="J10" s="12">
        <f>H10+I10</f>
        <v/>
      </c>
      <c r="K10" t="inlineStr">
        <is>
          <t>Yes</t>
        </is>
      </c>
    </row>
    <row r="11" ht="18" customHeight="1">
      <c r="A11" t="inlineStr">
        <is>
          <t>SVC-1007</t>
        </is>
      </c>
      <c r="B11" s="10" t="n">
        <v>46138</v>
      </c>
      <c r="C11" t="inlineStr">
        <is>
          <t>EQ-302</t>
        </is>
      </c>
      <c r="D11" t="inlineStr">
        <is>
          <t>Riverside Medical Plaza</t>
        </is>
      </c>
      <c r="E11" t="inlineStr">
        <is>
          <t>D. Sullivan</t>
        </is>
      </c>
      <c r="F11" t="inlineStr">
        <is>
          <t>Repair</t>
        </is>
      </c>
      <c r="G11" t="inlineStr">
        <is>
          <t>Replaced faulty capacitor, tested system cycle.</t>
        </is>
      </c>
      <c r="H11" s="12" t="n">
        <v>157.72</v>
      </c>
      <c r="I11" s="12" t="n">
        <v>244.33</v>
      </c>
      <c r="J11" s="12">
        <f>H11+I11</f>
        <v/>
      </c>
      <c r="K11" t="inlineStr">
        <is>
          <t>Yes</t>
        </is>
      </c>
    </row>
    <row r="12" ht="18" customHeight="1">
      <c r="A12" t="inlineStr">
        <is>
          <t>SVC-1008</t>
        </is>
      </c>
      <c r="B12" s="10" t="n">
        <v>46094</v>
      </c>
      <c r="C12" t="inlineStr">
        <is>
          <t>EQ-302</t>
        </is>
      </c>
      <c r="D12" t="inlineStr">
        <is>
          <t>Riverside Medical Plaza</t>
        </is>
      </c>
      <c r="E12" t="inlineStr">
        <is>
          <t>D. Sullivan</t>
        </is>
      </c>
      <c r="F12" t="inlineStr">
        <is>
          <t>Emergency Call</t>
        </is>
      </c>
      <c r="G12" t="inlineStr">
        <is>
          <t>After-hours no-cool call, diagnosed and repaired same visit.</t>
        </is>
      </c>
      <c r="H12" s="12" t="n">
        <v>160.64</v>
      </c>
      <c r="I12" s="12" t="n">
        <v>123.97</v>
      </c>
      <c r="J12" s="12">
        <f>H12+I12</f>
        <v/>
      </c>
      <c r="K12" t="inlineStr">
        <is>
          <t>Yes</t>
        </is>
      </c>
    </row>
    <row r="13" ht="18" customHeight="1">
      <c r="A13" t="inlineStr">
        <is>
          <t>SVC-1009</t>
        </is>
      </c>
      <c r="B13" s="10" t="n">
        <v>46276</v>
      </c>
      <c r="C13" t="inlineStr">
        <is>
          <t>EQ-302</t>
        </is>
      </c>
      <c r="D13" t="inlineStr">
        <is>
          <t>Riverside Medical Plaza</t>
        </is>
      </c>
      <c r="E13" t="inlineStr">
        <is>
          <t>M. Okafor</t>
        </is>
      </c>
      <c r="F13" t="inlineStr">
        <is>
          <t>Emergency Call</t>
        </is>
      </c>
      <c r="G13" t="inlineStr">
        <is>
          <t>After-hours no-cool call, diagnosed and repaired same visit.</t>
        </is>
      </c>
      <c r="H13" s="12" t="n">
        <v>202.48</v>
      </c>
      <c r="I13" s="12" t="n">
        <v>286.23</v>
      </c>
      <c r="J13" s="12">
        <f>H13+I13</f>
        <v/>
      </c>
      <c r="K13" t="inlineStr">
        <is>
          <t>Yes</t>
        </is>
      </c>
    </row>
    <row r="14" ht="18" customHeight="1">
      <c r="A14" t="inlineStr">
        <is>
          <t>SVC-1010</t>
        </is>
      </c>
      <c r="B14" s="10" t="n">
        <v>46308</v>
      </c>
      <c r="C14" t="inlineStr">
        <is>
          <t>EQ-302</t>
        </is>
      </c>
      <c r="D14" t="inlineStr">
        <is>
          <t>Riverside Medical Plaza</t>
        </is>
      </c>
      <c r="E14" t="inlineStr">
        <is>
          <t>D. Sullivan</t>
        </is>
      </c>
      <c r="F14" t="inlineStr">
        <is>
          <t>Emergency Call</t>
        </is>
      </c>
      <c r="G14" t="inlineStr">
        <is>
          <t>After-hours no-cool call, diagnosed and repaired same visit.</t>
        </is>
      </c>
      <c r="H14" s="12" t="n">
        <v>19.25</v>
      </c>
      <c r="I14" s="12" t="n">
        <v>184.94</v>
      </c>
      <c r="J14" s="12">
        <f>H14+I14</f>
        <v/>
      </c>
      <c r="K14" t="inlineStr">
        <is>
          <t>Yes</t>
        </is>
      </c>
    </row>
    <row r="15" ht="18" customHeight="1">
      <c r="A15" t="inlineStr">
        <is>
          <t>SVC-1011</t>
        </is>
      </c>
      <c r="B15" s="10" t="n">
        <v>46037</v>
      </c>
      <c r="C15" t="inlineStr">
        <is>
          <t>EQ-302</t>
        </is>
      </c>
      <c r="D15" t="inlineStr">
        <is>
          <t>Riverside Medical Plaza</t>
        </is>
      </c>
      <c r="E15" t="inlineStr">
        <is>
          <t>D. Sullivan</t>
        </is>
      </c>
      <c r="F15" t="inlineStr">
        <is>
          <t>Scheduled Maintenance</t>
        </is>
      </c>
      <c r="G15" t="inlineStr">
        <is>
          <t>Routine filter/coil check, no issues found.</t>
        </is>
      </c>
      <c r="H15" s="12" t="n">
        <v>0.82</v>
      </c>
      <c r="I15" s="12" t="n">
        <v>180.63</v>
      </c>
      <c r="J15" s="12">
        <f>H15+I15</f>
        <v/>
      </c>
      <c r="K15" t="inlineStr">
        <is>
          <t>Yes</t>
        </is>
      </c>
    </row>
    <row r="16" ht="18" customHeight="1">
      <c r="A16" t="inlineStr">
        <is>
          <t>SVC-1012</t>
        </is>
      </c>
      <c r="B16" s="10" t="n">
        <v>46134</v>
      </c>
      <c r="C16" t="inlineStr">
        <is>
          <t>EQ-302</t>
        </is>
      </c>
      <c r="D16" t="inlineStr">
        <is>
          <t>Riverside Medical Plaza</t>
        </is>
      </c>
      <c r="E16" t="inlineStr">
        <is>
          <t>R. Nguyen</t>
        </is>
      </c>
      <c r="F16" t="inlineStr">
        <is>
          <t>Scheduled Maintenance</t>
        </is>
      </c>
      <c r="G16" t="inlineStr">
        <is>
          <t>Routine filter/coil check, no issues found.</t>
        </is>
      </c>
      <c r="H16" s="12" t="n">
        <v>21.91</v>
      </c>
      <c r="I16" s="12" t="n">
        <v>277.85</v>
      </c>
      <c r="J16" s="12">
        <f>H16+I16</f>
        <v/>
      </c>
      <c r="K16" t="inlineStr">
        <is>
          <t>Yes</t>
        </is>
      </c>
    </row>
    <row r="17" ht="18" customHeight="1">
      <c r="B17" s="10" t="n"/>
      <c r="H17" s="12" t="n"/>
      <c r="I17" s="12" t="n"/>
      <c r="J17" s="12" t="n"/>
    </row>
    <row r="18" ht="18" customHeight="1">
      <c r="B18" s="10" t="n"/>
      <c r="H18" s="12" t="n"/>
      <c r="I18" s="12" t="n"/>
      <c r="J18" s="12" t="n"/>
    </row>
    <row r="19" ht="18" customHeight="1">
      <c r="B19" s="10" t="n"/>
      <c r="H19" s="12" t="n"/>
      <c r="I19" s="12" t="n"/>
      <c r="J19" s="12" t="n"/>
    </row>
    <row r="20" ht="18" customHeight="1">
      <c r="B20" s="10" t="n"/>
      <c r="H20" s="12" t="n"/>
      <c r="I20" s="12" t="n"/>
      <c r="J20" s="12" t="n"/>
    </row>
    <row r="21" ht="18" customHeight="1">
      <c r="B21" s="10" t="n"/>
      <c r="H21" s="12" t="n"/>
      <c r="I21" s="12" t="n"/>
      <c r="J21" s="12" t="n"/>
    </row>
    <row r="22" ht="18" customHeight="1">
      <c r="B22" s="10" t="n"/>
      <c r="H22" s="12" t="n"/>
      <c r="I22" s="12" t="n"/>
      <c r="J22" s="12" t="n"/>
    </row>
    <row r="23" ht="18" customHeight="1">
      <c r="B23" s="10" t="n"/>
      <c r="H23" s="12" t="n"/>
      <c r="I23" s="12" t="n"/>
      <c r="J23" s="12" t="n"/>
    </row>
    <row r="24" ht="18" customHeight="1">
      <c r="B24" s="10" t="n"/>
      <c r="H24" s="12" t="n"/>
      <c r="I24" s="12" t="n"/>
      <c r="J24" s="12" t="n"/>
    </row>
    <row r="25" ht="18" customHeight="1">
      <c r="B25" s="10" t="n"/>
      <c r="H25" s="12" t="n"/>
      <c r="I25" s="12" t="n"/>
      <c r="J25" s="12" t="n"/>
    </row>
    <row r="26" ht="18" customHeight="1">
      <c r="B26" s="10" t="n"/>
      <c r="H26" s="12" t="n"/>
      <c r="I26" s="12" t="n"/>
      <c r="J26" s="12" t="n"/>
    </row>
    <row r="27" ht="18" customHeight="1">
      <c r="B27" s="10" t="n"/>
      <c r="H27" s="12" t="n"/>
      <c r="I27" s="12" t="n"/>
      <c r="J27" s="12" t="n"/>
    </row>
    <row r="28" ht="18" customHeight="1">
      <c r="B28" s="10" t="n"/>
      <c r="H28" s="12" t="n"/>
      <c r="I28" s="12" t="n"/>
      <c r="J28" s="12" t="n"/>
    </row>
    <row r="29" ht="18" customHeight="1">
      <c r="B29" s="10" t="n"/>
      <c r="H29" s="12" t="n"/>
      <c r="I29" s="12" t="n"/>
      <c r="J29" s="12" t="n"/>
    </row>
    <row r="30" ht="18" customHeight="1">
      <c r="B30" s="10" t="n"/>
      <c r="H30" s="12" t="n"/>
      <c r="I30" s="12" t="n"/>
      <c r="J30" s="12" t="n"/>
    </row>
    <row r="31" ht="18" customHeight="1">
      <c r="B31" s="10" t="n"/>
      <c r="H31" s="12" t="n"/>
      <c r="I31" s="12" t="n"/>
      <c r="J31" s="12" t="n"/>
    </row>
    <row r="32" ht="18" customHeight="1">
      <c r="B32" s="10" t="n"/>
      <c r="H32" s="12" t="n"/>
      <c r="I32" s="12" t="n"/>
      <c r="J32" s="12" t="n"/>
    </row>
    <row r="33" ht="18" customHeight="1">
      <c r="B33" s="10" t="n"/>
      <c r="H33" s="12" t="n"/>
      <c r="I33" s="12" t="n"/>
      <c r="J33" s="12" t="n"/>
    </row>
    <row r="34" ht="18" customHeight="1">
      <c r="B34" s="10" t="n"/>
      <c r="H34" s="12" t="n"/>
      <c r="I34" s="12" t="n"/>
      <c r="J34" s="12" t="n"/>
    </row>
    <row r="35" ht="18" customHeight="1">
      <c r="B35" s="10" t="n"/>
      <c r="H35" s="12" t="n"/>
      <c r="I35" s="12" t="n"/>
      <c r="J35" s="12" t="n"/>
    </row>
    <row r="36" ht="18" customHeight="1">
      <c r="B36" s="10" t="n"/>
      <c r="H36" s="12" t="n"/>
      <c r="I36" s="12" t="n"/>
      <c r="J36" s="12" t="n"/>
    </row>
    <row r="37" ht="18" customHeight="1">
      <c r="B37" s="10" t="n"/>
      <c r="H37" s="12" t="n"/>
      <c r="I37" s="12" t="n"/>
      <c r="J37" s="12" t="n"/>
    </row>
    <row r="38" ht="18" customHeight="1">
      <c r="B38" s="10" t="n"/>
      <c r="H38" s="12" t="n"/>
      <c r="I38" s="12" t="n"/>
      <c r="J38" s="12" t="n"/>
    </row>
    <row r="39" ht="18" customHeight="1">
      <c r="B39" s="10" t="n"/>
      <c r="H39" s="12" t="n"/>
      <c r="I39" s="12" t="n"/>
      <c r="J39" s="12" t="n"/>
    </row>
    <row r="40" ht="18" customHeight="1">
      <c r="B40" s="10" t="n"/>
      <c r="H40" s="12" t="n"/>
      <c r="I40" s="12" t="n"/>
      <c r="J40" s="12" t="n"/>
    </row>
    <row r="41" ht="18" customHeight="1">
      <c r="B41" s="10" t="n"/>
      <c r="H41" s="12" t="n"/>
      <c r="I41" s="12" t="n"/>
      <c r="J41" s="12" t="n"/>
    </row>
    <row r="42" ht="18" customHeight="1">
      <c r="B42" s="10" t="n"/>
      <c r="H42" s="12" t="n"/>
      <c r="I42" s="12" t="n"/>
      <c r="J42" s="12" t="n"/>
    </row>
    <row r="43" ht="18" customHeight="1">
      <c r="B43" s="10" t="n"/>
      <c r="H43" s="12" t="n"/>
      <c r="I43" s="12" t="n"/>
      <c r="J43" s="12" t="n"/>
    </row>
    <row r="44" ht="18" customHeight="1">
      <c r="B44" s="10" t="n"/>
      <c r="H44" s="12" t="n"/>
      <c r="I44" s="12" t="n"/>
      <c r="J44" s="12" t="n"/>
    </row>
    <row r="45" ht="18" customHeight="1">
      <c r="B45" s="10" t="n"/>
      <c r="H45" s="12" t="n"/>
      <c r="I45" s="12" t="n"/>
      <c r="J45" s="12" t="n"/>
    </row>
    <row r="46" ht="18" customHeight="1">
      <c r="B46" s="10" t="n"/>
      <c r="H46" s="12" t="n"/>
      <c r="I46" s="12" t="n"/>
      <c r="J46" s="12" t="n"/>
    </row>
    <row r="47" ht="18" customHeight="1">
      <c r="B47" s="10" t="n"/>
      <c r="H47" s="12" t="n"/>
      <c r="I47" s="12" t="n"/>
      <c r="J47" s="12" t="n"/>
    </row>
    <row r="48" ht="18" customHeight="1">
      <c r="B48" s="10" t="n"/>
      <c r="H48" s="12" t="n"/>
      <c r="I48" s="12" t="n"/>
      <c r="J48" s="12" t="n"/>
    </row>
    <row r="49" ht="18" customHeight="1">
      <c r="B49" s="10" t="n"/>
      <c r="H49" s="12" t="n"/>
      <c r="I49" s="12" t="n"/>
      <c r="J49" s="12" t="n"/>
    </row>
    <row r="50" ht="18" customHeight="1">
      <c r="B50" s="10" t="n"/>
      <c r="H50" s="12" t="n"/>
      <c r="I50" s="12" t="n"/>
      <c r="J50" s="12" t="n"/>
    </row>
    <row r="51" ht="18" customHeight="1">
      <c r="B51" s="10" t="n"/>
      <c r="H51" s="12" t="n"/>
      <c r="I51" s="12" t="n"/>
      <c r="J51" s="12" t="n"/>
    </row>
    <row r="52" ht="18" customHeight="1">
      <c r="B52" s="10" t="n"/>
      <c r="H52" s="12" t="n"/>
      <c r="I52" s="12" t="n"/>
      <c r="J52" s="12" t="n"/>
    </row>
    <row r="53" ht="18" customHeight="1">
      <c r="B53" s="10" t="n"/>
      <c r="H53" s="12" t="n"/>
      <c r="I53" s="12" t="n"/>
      <c r="J53" s="12" t="n"/>
    </row>
    <row r="54" ht="18" customHeight="1">
      <c r="B54" s="10" t="n"/>
      <c r="H54" s="12" t="n"/>
      <c r="I54" s="12" t="n"/>
      <c r="J54" s="12" t="n"/>
    </row>
    <row r="55" ht="18" customHeight="1">
      <c r="B55" s="10" t="n"/>
      <c r="H55" s="12" t="n"/>
      <c r="I55" s="12" t="n"/>
      <c r="J55" s="12" t="n"/>
    </row>
    <row r="56" ht="18" customHeight="1">
      <c r="B56" s="10" t="n"/>
      <c r="H56" s="12" t="n"/>
      <c r="I56" s="12" t="n"/>
      <c r="J56" s="12" t="n"/>
    </row>
    <row r="57" ht="18" customHeight="1">
      <c r="B57" s="10" t="n"/>
      <c r="H57" s="12" t="n"/>
      <c r="I57" s="12" t="n"/>
      <c r="J57" s="12" t="n"/>
    </row>
    <row r="58" ht="18" customHeight="1">
      <c r="B58" s="10" t="n"/>
      <c r="H58" s="12" t="n"/>
      <c r="I58" s="12" t="n"/>
      <c r="J58" s="12" t="n"/>
    </row>
    <row r="59" ht="18" customHeight="1">
      <c r="B59" s="10" t="n"/>
      <c r="H59" s="12" t="n"/>
      <c r="I59" s="12" t="n"/>
      <c r="J59" s="12" t="n"/>
    </row>
    <row r="60" ht="18" customHeight="1">
      <c r="B60" s="10" t="n"/>
      <c r="H60" s="12" t="n"/>
      <c r="I60" s="12" t="n"/>
      <c r="J60" s="12" t="n"/>
    </row>
    <row r="61" ht="18" customHeight="1">
      <c r="B61" s="10" t="n"/>
      <c r="H61" s="12" t="n"/>
      <c r="I61" s="12" t="n"/>
      <c r="J61" s="12" t="n"/>
    </row>
    <row r="62" ht="18" customHeight="1">
      <c r="B62" s="10" t="n"/>
      <c r="H62" s="12" t="n"/>
      <c r="I62" s="12" t="n"/>
      <c r="J62" s="12" t="n"/>
    </row>
    <row r="63" ht="18" customHeight="1">
      <c r="B63" s="10" t="n"/>
      <c r="H63" s="12" t="n"/>
      <c r="I63" s="12" t="n"/>
      <c r="J63" s="12" t="n"/>
    </row>
    <row r="64" ht="18" customHeight="1">
      <c r="B64" s="10" t="n"/>
      <c r="H64" s="12" t="n"/>
      <c r="I64" s="12" t="n"/>
      <c r="J64" s="12" t="n"/>
    </row>
    <row r="65" ht="18" customHeight="1">
      <c r="B65" s="10" t="n"/>
      <c r="H65" s="12" t="n"/>
      <c r="I65" s="12" t="n"/>
      <c r="J65" s="12" t="n"/>
    </row>
    <row r="66" ht="18" customHeight="1">
      <c r="B66" s="10" t="n"/>
      <c r="H66" s="12" t="n"/>
      <c r="I66" s="12" t="n"/>
      <c r="J66" s="12" t="n"/>
    </row>
    <row r="67" ht="18" customHeight="1">
      <c r="B67" s="10" t="n"/>
      <c r="H67" s="12" t="n"/>
      <c r="I67" s="12" t="n"/>
      <c r="J67" s="12" t="n"/>
    </row>
    <row r="68" ht="18" customHeight="1">
      <c r="B68" s="10" t="n"/>
      <c r="H68" s="12" t="n"/>
      <c r="I68" s="12" t="n"/>
      <c r="J68" s="12" t="n"/>
    </row>
    <row r="69" ht="18" customHeight="1">
      <c r="B69" s="10" t="n"/>
      <c r="H69" s="12" t="n"/>
      <c r="I69" s="12" t="n"/>
      <c r="J69" s="12" t="n"/>
    </row>
    <row r="70" ht="18" customHeight="1">
      <c r="B70" s="10" t="n"/>
      <c r="H70" s="12" t="n"/>
      <c r="I70" s="12" t="n"/>
      <c r="J70" s="12" t="n"/>
    </row>
    <row r="71" ht="18" customHeight="1">
      <c r="B71" s="10" t="n"/>
      <c r="H71" s="12" t="n"/>
      <c r="I71" s="12" t="n"/>
      <c r="J71" s="12" t="n"/>
    </row>
    <row r="72" ht="18" customHeight="1">
      <c r="B72" s="10" t="n"/>
      <c r="H72" s="12" t="n"/>
      <c r="I72" s="12" t="n"/>
      <c r="J72" s="12" t="n"/>
    </row>
    <row r="73" ht="18" customHeight="1">
      <c r="B73" s="10" t="n"/>
      <c r="H73" s="12" t="n"/>
      <c r="I73" s="12" t="n"/>
      <c r="J73" s="12" t="n"/>
    </row>
    <row r="74" ht="18" customHeight="1">
      <c r="B74" s="10" t="n"/>
      <c r="H74" s="12" t="n"/>
      <c r="I74" s="12" t="n"/>
      <c r="J74" s="12" t="n"/>
    </row>
    <row r="75" ht="18" customHeight="1">
      <c r="B75" s="10" t="n"/>
      <c r="H75" s="12" t="n"/>
      <c r="I75" s="12" t="n"/>
      <c r="J75" s="12" t="n"/>
    </row>
    <row r="76" ht="18" customHeight="1">
      <c r="B76" s="10" t="n"/>
      <c r="H76" s="12" t="n"/>
      <c r="I76" s="12" t="n"/>
      <c r="J76" s="12" t="n"/>
    </row>
    <row r="77" ht="18" customHeight="1">
      <c r="B77" s="10" t="n"/>
      <c r="H77" s="12" t="n"/>
      <c r="I77" s="12" t="n"/>
      <c r="J77" s="12" t="n"/>
    </row>
    <row r="78" ht="18" customHeight="1">
      <c r="B78" s="10" t="n"/>
      <c r="H78" s="12" t="n"/>
      <c r="I78" s="12" t="n"/>
      <c r="J78" s="12" t="n"/>
    </row>
    <row r="79" ht="18" customHeight="1">
      <c r="B79" s="10" t="n"/>
      <c r="H79" s="12" t="n"/>
      <c r="I79" s="12" t="n"/>
      <c r="J79" s="12" t="n"/>
    </row>
    <row r="80" ht="18" customHeight="1">
      <c r="B80" s="10" t="n"/>
      <c r="H80" s="12" t="n"/>
      <c r="I80" s="12" t="n"/>
      <c r="J80" s="12" t="n"/>
    </row>
  </sheetData>
  <dataValidations count="3">
    <dataValidation sqref="C5:C80" showDropDown="0" showInputMessage="1" showErrorMessage="1" allowBlank="1" errorTitle="Pick from list" error="Please pick a value from the list (edit the list on the settings tab to add options)." prompt="Pick an Equipment ID from the roster tab." type="list">
      <formula1>='Customer &amp; Equipment Roster'!$D$5:$D$24</formula1>
    </dataValidation>
    <dataValidation sqref="F5:F80" showDropDown="0" showInputMessage="0" showErrorMessage="1" allowBlank="1" errorTitle="Pick from list" error="Please pick a value from the list (edit the list on the settings tab to add options)." type="list">
      <formula1>"Scheduled Maintenance,Repair,Inspection,Emergency Call"</formula1>
    </dataValidation>
    <dataValidation sqref="K5:K80" showDropDown="0" showInputMessage="0" showErrorMessage="1" allowBlank="1" errorTitle="Pick from list" error="Please pick a value from the list (edit the list on the settings tab to add options)." type="list">
      <formula1>"Yes,No"</formula1>
    </dataValidation>
  </dataValidations>
  <pageMargins left="0.75" right="0.75" top="1" bottom="1" header="0.5" footer="0.5"/>
</worksheet>
</file>

<file path=xl/worksheets/sheet5.xml><?xml version="1.0" encoding="utf-8"?>
<worksheet xmlns="http://schemas.openxmlformats.org/spreadsheetml/2006/main">
  <sheetPr>
    <tabColor rgb="00B45309"/>
    <outlinePr summaryBelow="1" summaryRight="1"/>
    <pageSetUpPr/>
  </sheetPr>
  <dimension ref="A1:B18"/>
  <sheetViews>
    <sheetView showGridLines="0" workbookViewId="0">
      <selection activeCell="A1" sqref="A1"/>
    </sheetView>
  </sheetViews>
  <sheetFormatPr baseColWidth="8" defaultRowHeight="15"/>
  <cols>
    <col width="42" customWidth="1" min="1" max="1"/>
    <col width="20" customWidth="1" min="2" max="2"/>
  </cols>
  <sheetData>
    <row r="1">
      <c r="A1" s="1" t="inlineStr">
        <is>
          <t>Dashboard</t>
        </is>
      </c>
    </row>
    <row r="2">
      <c r="A2" s="2" t="inlineStr">
        <is>
          <t>Live rollup from the Agreements and Service History tabs. Updates automatically.</t>
        </is>
      </c>
    </row>
    <row r="3" ht="32" customHeight="1">
      <c r="A3" s="9" t="inlineStr">
        <is>
          <t>Metric</t>
        </is>
      </c>
      <c r="B3" s="9" t="inlineStr">
        <is>
          <t>Value</t>
        </is>
      </c>
    </row>
    <row r="4" ht="20" customHeight="1">
      <c r="A4" s="13" t="inlineStr">
        <is>
          <t>Total equipment units on file</t>
        </is>
      </c>
      <c r="B4" s="14">
        <f>COUNTA('Customer &amp; Equipment Roster'!$D$5:$D$24)</f>
        <v/>
      </c>
    </row>
    <row r="5" ht="20" customHeight="1">
      <c r="A5" s="13" t="inlineStr">
        <is>
          <t>Total active maintenance agreements</t>
        </is>
      </c>
      <c r="B5" s="14">
        <f>COUNTA('Maintenance Agreements'!$A$5:$A$17)</f>
        <v/>
      </c>
    </row>
    <row r="6" ht="20" customHeight="1">
      <c r="A6" s="13" t="inlineStr">
        <is>
          <t>Agreements OVERDUE for renewal</t>
        </is>
      </c>
      <c r="B6" s="14">
        <f>COUNTIF('Maintenance Agreements'!$J$5:$J$17,"OVERDUE")</f>
        <v/>
      </c>
    </row>
    <row r="7" ht="20" customHeight="1">
      <c r="A7" s="13" t="inlineStr">
        <is>
          <t>Agreements DUE SOON (next 30 days)</t>
        </is>
      </c>
      <c r="B7" s="14">
        <f>COUNTIF('Maintenance Agreements'!$J$5:$J$17,"DUE SOON")</f>
        <v/>
      </c>
    </row>
    <row r="8" ht="20" customHeight="1">
      <c r="A8" s="13" t="inlineStr">
        <is>
          <t>Agreements with Non-Standard / Custom terms</t>
        </is>
      </c>
      <c r="B8" s="14">
        <f>COUNTIF('Maintenance Agreements'!$E$5:$E$17,"Non-Standard / Custom")</f>
        <v/>
      </c>
    </row>
    <row r="9" ht="20" customHeight="1">
      <c r="A9" s="13" t="inlineStr">
        <is>
          <t>Total agreement revenue per term ($)</t>
        </is>
      </c>
      <c r="B9" s="15">
        <f>SUM('Maintenance Agreements'!$K$5:$K$17)</f>
        <v/>
      </c>
    </row>
    <row r="10" ht="20" customHeight="1">
      <c r="A10" s="13" t="inlineStr">
        <is>
          <t>Total service visits logged</t>
        </is>
      </c>
      <c r="B10" s="14">
        <f>COUNTA('Service History Log'!$A$5:$A$80)</f>
        <v/>
      </c>
    </row>
    <row r="11" ht="20" customHeight="1">
      <c r="A11" s="13" t="inlineStr">
        <is>
          <t>Total service cost (parts + labor) ($)</t>
        </is>
      </c>
      <c r="B11" s="15">
        <f>SUM('Service History Log'!$J$5:$J$80)</f>
        <v/>
      </c>
    </row>
    <row r="12" ht="20" customHeight="1">
      <c r="A12" s="13" t="inlineStr">
        <is>
          <t>Emergency calls logged</t>
        </is>
      </c>
      <c r="B12" s="14">
        <f>COUNTIF('Service History Log'!$F$5:$F$80,"Emergency Call")</f>
        <v/>
      </c>
    </row>
    <row r="15" ht="32" customHeight="1">
      <c r="A15" s="9" t="inlineStr">
        <is>
          <t>Status</t>
        </is>
      </c>
      <c r="B15" s="9" t="inlineStr">
        <is>
          <t>Count</t>
        </is>
      </c>
    </row>
    <row r="16">
      <c r="A16" t="inlineStr">
        <is>
          <t>OVERDUE</t>
        </is>
      </c>
      <c r="B16" s="11">
        <f>COUNTIF('Maintenance Agreements'!$J$5:$J$17,"OVERDUE")</f>
        <v/>
      </c>
    </row>
    <row r="17">
      <c r="A17" t="inlineStr">
        <is>
          <t>DUE SOON</t>
        </is>
      </c>
      <c r="B17" s="11">
        <f>COUNTIF('Maintenance Agreements'!$J$5:$J$17,"DUE SOON")</f>
        <v/>
      </c>
    </row>
    <row r="18">
      <c r="A18" t="inlineStr">
        <is>
          <t>ACTIVE</t>
        </is>
      </c>
      <c r="B18" s="11">
        <f>COUNTIF('Maintenance Agreements'!$J$5:$J$17,"ACTIVE")</f>
        <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2026-10-17T09:08:55Z</dcterms:created>
  <dcterms:modified xmlns:dcterms="http://purl.org/dc/terms/" xmlns:xsi="http://www.w3.org/2001/XMLSchema-instance" xsi:type="dcterms:W3CDTF">2026-10-22T18:30:04Z</dcterms:modified>
</cp:coreProperties>
</file>